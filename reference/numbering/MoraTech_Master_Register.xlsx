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Quotes" sheetId="2" state="visible" r:id="rId2"/>
    <sheet xmlns:r="http://schemas.openxmlformats.org/officeDocument/2006/relationships" name="Builds" sheetId="3" state="visible" r:id="rId3"/>
    <sheet xmlns:r="http://schemas.openxmlformats.org/officeDocument/2006/relationships" name="Client Codes" sheetId="4" state="visible" r:id="rId4"/>
    <sheet xmlns:r="http://schemas.openxmlformats.org/officeDocument/2006/relationships" name="Number Generat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"/>
  </numFmts>
  <fonts count="39">
    <font>
      <name val="Calibri"/>
      <family val="2"/>
      <color theme="1"/>
      <sz val="11"/>
      <scheme val="minor"/>
    </font>
    <font>
      <name val="Arial"/>
      <b val="1"/>
      <color rgb="00B22222"/>
      <sz val="16"/>
    </font>
    <font>
      <name val="Arial"/>
      <i val="1"/>
      <color rgb="00404040"/>
      <sz val="11"/>
    </font>
    <font>
      <name val="Arial"/>
      <b val="1"/>
      <color rgb="00FFFFFF"/>
      <sz val="11"/>
    </font>
    <font>
      <name val="Arial"/>
      <b val="1"/>
      <color rgb="00404040"/>
      <sz val="10"/>
    </font>
    <font>
      <name val="Arial"/>
      <color rgb="002C2C2C"/>
      <sz val="10"/>
    </font>
    <font>
      <name val="Arial"/>
      <b val="1"/>
      <color rgb="00FFFFFF"/>
      <sz val="10"/>
    </font>
    <font>
      <name val="Arial"/>
      <color rgb="000563C1"/>
      <sz val="10"/>
    </font>
    <font>
      <name val="Arial"/>
      <color rgb="001A6B2E"/>
      <sz val="10"/>
    </font>
    <font>
      <name val="Arial"/>
      <color rgb="001A4A1A"/>
      <sz val="10"/>
    </font>
    <font>
      <name val="Arial"/>
      <b val="1"/>
      <color rgb="001A3A6B"/>
      <sz val="10"/>
    </font>
    <font>
      <name val="Arial"/>
      <color rgb="001A3A6B"/>
      <sz val="10"/>
    </font>
    <font>
      <name val="Arial"/>
      <b val="1"/>
      <color rgb="006B2A1A"/>
      <sz val="10"/>
    </font>
    <font>
      <name val="Arial"/>
      <color rgb="006B2A1A"/>
      <sz val="10"/>
    </font>
    <font>
      <name val="Arial"/>
      <b val="1"/>
      <color rgb="007A5C00"/>
      <sz val="10"/>
    </font>
    <font>
      <name val="Arial"/>
      <color rgb="007A5C00"/>
      <sz val="10"/>
    </font>
    <font>
      <name val="Arial"/>
      <b val="1"/>
      <color rgb="003A1A7A"/>
      <sz val="10"/>
    </font>
    <font>
      <name val="Arial"/>
      <color rgb="003A1A7A"/>
      <sz val="10"/>
    </font>
    <font>
      <name val="Arial"/>
      <b val="1"/>
      <color rgb="007A1A1A"/>
      <sz val="10"/>
    </font>
    <font>
      <name val="Arial"/>
      <color rgb="007A1A1A"/>
      <sz val="10"/>
    </font>
    <font>
      <name val="Arial"/>
      <b val="1"/>
      <color rgb="001A5A1A"/>
      <sz val="10"/>
    </font>
    <font>
      <name val="Arial"/>
      <color rgb="001A5A1A"/>
      <sz val="10"/>
    </font>
    <font>
      <name val="Arial"/>
      <b val="1"/>
      <color rgb="001A3A5A"/>
      <sz val="10"/>
    </font>
    <font>
      <name val="Arial"/>
      <color rgb="001A3A5A"/>
      <sz val="10"/>
    </font>
    <font>
      <name val="Arial"/>
      <b val="1"/>
      <color rgb="007A3A00"/>
      <sz val="10"/>
    </font>
    <font>
      <name val="Arial"/>
      <color rgb="007A3A00"/>
      <sz val="10"/>
    </font>
    <font>
      <name val="Arial"/>
      <b val="1"/>
      <color rgb="002A007A"/>
      <sz val="10"/>
    </font>
    <font>
      <name val="Arial"/>
      <color rgb="002A007A"/>
      <sz val="10"/>
    </font>
    <font>
      <name val="Arial"/>
      <i val="1"/>
      <color rgb="001A4A1A"/>
      <sz val="9"/>
    </font>
    <font>
      <name val="Arial"/>
      <color rgb="00404040"/>
      <sz val="10"/>
    </font>
    <font>
      <name val="Arial"/>
      <b val="1"/>
      <i val="1"/>
      <color rgb="00404040"/>
      <sz val="9"/>
    </font>
    <font>
      <name val="Arial"/>
      <b val="1"/>
      <color rgb="00404040"/>
      <sz val="9"/>
    </font>
    <font>
      <name val="Arial"/>
      <b val="1"/>
      <color rgb="00B22222"/>
      <sz val="9"/>
    </font>
    <font>
      <name val="Arial"/>
      <b val="1"/>
      <color rgb="001A6B2E"/>
      <sz val="9"/>
    </font>
    <font>
      <name val="Arial"/>
      <b val="1"/>
      <color rgb="002C2C2C"/>
      <sz val="10"/>
    </font>
    <font>
      <name val="Arial"/>
      <i val="1"/>
      <color rgb="00404040"/>
      <sz val="10"/>
    </font>
    <font>
      <name val="Arial"/>
      <i val="1"/>
      <color rgb="00404040"/>
      <sz val="9"/>
    </font>
    <font>
      <name val="Arial"/>
      <b val="1"/>
      <color rgb="001A6B2E"/>
      <sz val="10"/>
    </font>
    <font>
      <name val="Arial"/>
      <i val="1"/>
      <color rgb="001A4A1A"/>
      <sz val="10"/>
    </font>
  </fonts>
  <fills count="19">
    <fill>
      <patternFill/>
    </fill>
    <fill>
      <patternFill patternType="gray125"/>
    </fill>
    <fill>
      <patternFill patternType="solid">
        <fgColor rgb="00B22222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404040"/>
      </patternFill>
    </fill>
    <fill>
      <patternFill patternType="solid">
        <fgColor rgb="00EDF7ED"/>
      </patternFill>
    </fill>
    <fill>
      <patternFill patternType="solid">
        <fgColor rgb="00E8EEF7"/>
      </patternFill>
    </fill>
    <fill>
      <patternFill patternType="solid">
        <fgColor rgb="00FAF0E6"/>
      </patternFill>
    </fill>
    <fill>
      <patternFill patternType="solid">
        <fgColor rgb="00FFF8E1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F0FFF0"/>
      </patternFill>
    </fill>
    <fill>
      <patternFill patternType="solid">
        <fgColor rgb="00F0F8FF"/>
      </patternFill>
    </fill>
    <fill>
      <patternFill patternType="solid">
        <fgColor rgb="00FFF4EC"/>
      </patternFill>
    </fill>
    <fill>
      <patternFill patternType="solid">
        <fgColor rgb="00F4F0FF"/>
      </patternFill>
    </fill>
    <fill>
      <patternFill patternType="solid">
        <fgColor rgb="00E2EFDA"/>
      </patternFill>
    </fill>
    <fill>
      <patternFill patternType="solid">
        <fgColor rgb="00FFF9C4"/>
      </patternFill>
    </fill>
    <fill>
      <patternFill patternType="solid">
        <fgColor rgb="00DDEEFF"/>
      </patternFill>
    </fill>
  </fills>
  <borders count="10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4A7A4A"/>
      </left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bottom style="thin">
        <color rgb="00CCCCCC"/>
      </bottom>
    </border>
    <border>
      <left/>
      <right/>
      <top/>
      <bottom style="thin">
        <color rgb="00CCCCCC"/>
      </bottom>
      <diagonal/>
    </border>
    <border>
      <right/>
      <bottom style="thin">
        <color rgb="00CCCCCC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11" fillId="7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left" vertical="center"/>
    </xf>
    <xf numFmtId="0" fontId="14" fillId="9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left" vertical="center"/>
    </xf>
    <xf numFmtId="0" fontId="28" fillId="6" borderId="2" applyAlignment="1" pivotButton="0" quotePrefix="0" xfId="0">
      <alignment horizontal="left" vertical="center" wrapText="1"/>
    </xf>
    <xf numFmtId="0" fontId="18" fillId="11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3" fillId="2" borderId="1" applyAlignment="1" pivotButton="0" quotePrefix="0" xfId="0">
      <alignment horizontal="left" vertical="center"/>
    </xf>
    <xf numFmtId="0" fontId="29" fillId="3" borderId="9" applyAlignment="1" pivotButton="0" quotePrefix="0" xfId="0">
      <alignment horizontal="left" vertical="center" wrapText="1"/>
    </xf>
    <xf numFmtId="0" fontId="0" fillId="0" borderId="8" pivotButton="0" quotePrefix="0" xfId="0"/>
    <xf numFmtId="0" fontId="29" fillId="4" borderId="9" applyAlignment="1" pivotButton="0" quotePrefix="0" xfId="0">
      <alignment horizontal="left" vertical="center" wrapText="1"/>
    </xf>
    <xf numFmtId="0" fontId="29" fillId="3" borderId="7" applyAlignment="1" pivotButton="0" quotePrefix="0" xfId="0">
      <alignment horizontal="left" vertical="center" wrapText="1"/>
    </xf>
    <xf numFmtId="0" fontId="29" fillId="4" borderId="7" applyAlignment="1" pivotButton="0" quotePrefix="0" xfId="0">
      <alignment horizontal="left" vertical="center" wrapText="1"/>
    </xf>
    <xf numFmtId="0" fontId="3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0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left" vertical="center"/>
    </xf>
    <xf numFmtId="164" fontId="5" fillId="16" borderId="1" applyAlignment="1" pivotButton="0" quotePrefix="0" xfId="0">
      <alignment horizontal="left" vertical="center"/>
    </xf>
    <xf numFmtId="0" fontId="5" fillId="16" borderId="1" applyAlignment="1" pivotButton="0" quotePrefix="0" xfId="0">
      <alignment horizontal="left" vertical="center" wrapText="1"/>
    </xf>
    <xf numFmtId="165" fontId="5" fillId="16" borderId="1" applyAlignment="1" pivotButton="0" quotePrefix="0" xfId="0">
      <alignment horizontal="left" vertical="center"/>
    </xf>
    <xf numFmtId="0" fontId="5" fillId="17" borderId="1" applyAlignment="1" pivotButton="0" quotePrefix="0" xfId="0">
      <alignment horizontal="left" vertical="center"/>
    </xf>
    <xf numFmtId="164" fontId="5" fillId="17" borderId="1" applyAlignment="1" pivotButton="0" quotePrefix="0" xfId="0">
      <alignment horizontal="left" vertical="center"/>
    </xf>
    <xf numFmtId="0" fontId="5" fillId="17" borderId="1" applyAlignment="1" pivotButton="0" quotePrefix="0" xfId="0">
      <alignment horizontal="left" vertical="center" wrapText="1"/>
    </xf>
    <xf numFmtId="165" fontId="5" fillId="17" borderId="1" applyAlignment="1" pivotButton="0" quotePrefix="0" xfId="0">
      <alignment horizontal="left" vertical="center"/>
    </xf>
    <xf numFmtId="0" fontId="5" fillId="18" borderId="1" applyAlignment="1" pivotButton="0" quotePrefix="0" xfId="0">
      <alignment horizontal="left" vertical="center"/>
    </xf>
    <xf numFmtId="164" fontId="5" fillId="18" borderId="1" applyAlignment="1" pivotButton="0" quotePrefix="0" xfId="0">
      <alignment horizontal="left" vertical="center"/>
    </xf>
    <xf numFmtId="0" fontId="5" fillId="18" borderId="1" applyAlignment="1" pivotButton="0" quotePrefix="0" xfId="0">
      <alignment horizontal="left" vertical="center" wrapText="1"/>
    </xf>
    <xf numFmtId="165" fontId="5" fillId="18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34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left" vertical="center"/>
    </xf>
    <xf numFmtId="0" fontId="34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left" vertical="center"/>
    </xf>
    <xf numFmtId="0" fontId="35" fillId="0" borderId="0" pivotButton="0" quotePrefix="0" xfId="0"/>
    <xf numFmtId="0" fontId="3" fillId="2" borderId="0" pivotButton="0" quotePrefix="0" xfId="0"/>
    <xf numFmtId="0" fontId="36" fillId="0" borderId="0" applyAlignment="1" pivotButton="0" quotePrefix="0" xfId="0">
      <alignment horizontal="left" vertical="center" wrapText="1"/>
    </xf>
    <xf numFmtId="0" fontId="37" fillId="4" borderId="1" applyAlignment="1" pivotButton="0" quotePrefix="0" xfId="0">
      <alignment horizontal="left" vertical="center"/>
    </xf>
    <xf numFmtId="0" fontId="38" fillId="6" borderId="2" applyAlignment="1" pivotButton="0" quotePrefix="0" xfId="0">
      <alignment horizontal="left" vertical="center" wrapText="1"/>
    </xf>
  </cellXfs>
  <cellStyles count="1">
    <cellStyle name="Normal" xfId="0" builtinId="0" hidden="0"/>
  </cellStyles>
  <dxfs count="5">
    <dxf>
      <fill>
        <patternFill patternType="solid">
          <fgColor rgb="00DDEEFF"/>
        </patternFill>
      </fill>
    </dxf>
    <dxf>
      <fill>
        <patternFill patternType="solid">
          <fgColor rgb="00FFF9C4"/>
        </patternFill>
      </fill>
    </dxf>
    <dxf>
      <fill>
        <patternFill patternType="solid">
          <fgColor rgb="00E2EFDA"/>
        </patternFill>
      </fill>
    </dxf>
    <dxf>
      <fill>
        <patternFill patternType="solid">
          <fgColor rgb="00F5E6E6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22222"/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0" customWidth="1" min="2" max="2"/>
    <col width="14" customWidth="1" min="3" max="3"/>
    <col width="14" customWidth="1" min="4" max="4"/>
    <col width="26" customWidth="1" min="5" max="5"/>
    <col width="48" customWidth="1" min="6" max="6"/>
  </cols>
  <sheetData>
    <row r="1" ht="40" customHeight="1">
      <c r="A1" s="1" t="inlineStr">
        <is>
          <t>Mora Technologies — Master Number Register</t>
        </is>
      </c>
    </row>
    <row r="2">
      <c r="A2" s="2" t="inlineStr">
        <is>
          <t>Quote &amp; Project Numbering System  ·  Quotes  ·  Builds  ·  Jobs  ·  Library  ·  Hardware  ·  Shop Supplies</t>
        </is>
      </c>
    </row>
    <row r="4">
      <c r="A4" s="3" t="inlineStr">
        <is>
          <t xml:space="preserve">  HOW TO USE THIS WORKBOOK</t>
        </is>
      </c>
    </row>
    <row r="5">
      <c r="A5" s="4" t="inlineStr">
        <is>
          <t xml:space="preserve">  Quotes tab</t>
        </is>
      </c>
      <c r="B5" s="5" t="inlineStr">
        <is>
          <t xml:space="preserve">  Log every quote when issued. One row per quote.</t>
        </is>
      </c>
    </row>
    <row r="6">
      <c r="A6" s="6" t="inlineStr">
        <is>
          <t xml:space="preserve">  Builds tab</t>
        </is>
      </c>
      <c r="B6" s="7" t="inlineStr">
        <is>
          <t xml:space="preserve">  When a quote is awarded, create a Build row. Build = top-level project (B[YY][####]).</t>
        </is>
      </c>
    </row>
    <row r="7">
      <c r="A7" s="4" t="inlineStr">
        <is>
          <t xml:space="preserve">  Jobs</t>
        </is>
      </c>
      <c r="B7" s="5" t="inlineStr">
        <is>
          <t xml:space="preserve">  Tracked in per-build Job Register files (separate workbooks). Format: [BUILD#]-J[CC][####].</t>
        </is>
      </c>
    </row>
    <row r="8">
      <c r="A8" s="6" t="inlineStr">
        <is>
          <t xml:space="preserve">  Library</t>
        </is>
      </c>
      <c r="B8" s="7" t="inlineStr">
        <is>
          <t xml:space="preserve">  Tracked in Library Register files (separate workbooks). Format: L[CC][####].</t>
        </is>
      </c>
    </row>
    <row r="9">
      <c r="A9" s="4" t="inlineStr">
        <is>
          <t xml:space="preserve">  Client Codes tab</t>
        </is>
      </c>
      <c r="B9" s="5" t="inlineStr">
        <is>
          <t xml:space="preserve">  Maintain the master client code registry. Add clients before issuing their first quote.</t>
        </is>
      </c>
    </row>
    <row r="10">
      <c r="A10" s="6" t="inlineStr">
        <is>
          <t xml:space="preserve">  This sheet</t>
        </is>
      </c>
      <c r="B10" s="7" t="inlineStr">
        <is>
          <t xml:space="preserve">  Reference only — do not edit.</t>
        </is>
      </c>
    </row>
    <row r="12">
      <c r="A12" s="3" t="inlineStr">
        <is>
          <t xml:space="preserve">  RELATED DOCUMENTS &amp; LINKS</t>
        </is>
      </c>
    </row>
    <row r="13">
      <c r="A13" s="8" t="inlineStr">
        <is>
          <t xml:space="preserve">  Document / Resource</t>
        </is>
      </c>
      <c r="B13" s="8" t="inlineStr">
        <is>
          <t xml:space="preserve">  Link / Path</t>
        </is>
      </c>
    </row>
    <row r="14" ht="22" customHeight="1">
      <c r="A14" s="4" t="inlineStr">
        <is>
          <t xml:space="preserve">  Job Register Template</t>
        </is>
      </c>
      <c r="B14" s="9" t="inlineStr"/>
    </row>
    <row r="15" ht="22" customHeight="1">
      <c r="A15" s="6" t="inlineStr">
        <is>
          <t xml:space="preserve">  Library Register Template</t>
        </is>
      </c>
      <c r="B15" s="10" t="inlineStr"/>
    </row>
    <row r="16" ht="22" customHeight="1">
      <c r="A16" s="4" t="inlineStr">
        <is>
          <t xml:space="preserve">  Numbering System SOP (Word)</t>
        </is>
      </c>
      <c r="B16" s="9" t="inlineStr"/>
    </row>
    <row r="17" ht="22" customHeight="1">
      <c r="A17" s="6" t="inlineStr">
        <is>
          <t xml:space="preserve">  </t>
        </is>
      </c>
      <c r="B17" s="10" t="inlineStr"/>
    </row>
    <row r="18" ht="22" customHeight="1">
      <c r="A18" s="4" t="inlineStr">
        <is>
          <t xml:space="preserve">  </t>
        </is>
      </c>
      <c r="B18" s="9" t="inlineStr"/>
    </row>
    <row r="20">
      <c r="A20" s="3" t="inlineStr">
        <is>
          <t xml:space="preserve">  NUMBERING FORMAT REFERENCE</t>
        </is>
      </c>
    </row>
    <row r="21">
      <c r="A21" s="8" t="inlineStr">
        <is>
          <t xml:space="preserve">  Format Name</t>
        </is>
      </c>
      <c r="B21" s="8" t="inlineStr">
        <is>
          <t xml:space="preserve">  Pattern</t>
        </is>
      </c>
      <c r="C21" s="8" t="inlineStr">
        <is>
          <t xml:space="preserve">  Example</t>
        </is>
      </c>
      <c r="D21" s="8" t="inlineStr">
        <is>
          <t xml:space="preserve">  Purpose</t>
        </is>
      </c>
    </row>
    <row r="22">
      <c r="A22" s="11" t="inlineStr">
        <is>
          <t xml:space="preserve">  Quote Number</t>
        </is>
      </c>
      <c r="B22" s="11" t="inlineStr">
        <is>
          <t xml:space="preserve">  Q[YY][####]</t>
        </is>
      </c>
      <c r="C22" s="12" t="inlineStr">
        <is>
          <t xml:space="preserve">  Q260042</t>
        </is>
      </c>
      <c r="D22" s="11" t="inlineStr">
        <is>
          <t xml:space="preserve">  Issued for every customer quote request; global, never resets</t>
        </is>
      </c>
    </row>
    <row r="23">
      <c r="A23" s="13" t="inlineStr">
        <is>
          <t xml:space="preserve">  Build Number</t>
        </is>
      </c>
      <c r="B23" s="13" t="inlineStr">
        <is>
          <t xml:space="preserve">  B[YY][####]</t>
        </is>
      </c>
      <c r="C23" s="14" t="inlineStr">
        <is>
          <t xml:space="preserve">  B260042</t>
        </is>
      </c>
      <c r="D23" s="13" t="inlineStr">
        <is>
          <t xml:space="preserve">  Same digits as awarded quote, prefix Q → B</t>
        </is>
      </c>
    </row>
    <row r="24">
      <c r="A24" s="11" t="inlineStr">
        <is>
          <t xml:space="preserve">  Job Number</t>
        </is>
      </c>
      <c r="B24" s="11" t="inlineStr">
        <is>
          <t xml:space="preserve">  [BUILD#]-J[CC][####]</t>
        </is>
      </c>
      <c r="C24" s="12" t="inlineStr">
        <is>
          <t xml:space="preserve">  B260042-J030001</t>
        </is>
      </c>
      <c r="D24" s="11" t="inlineStr">
        <is>
          <t xml:space="preserve">  Per-build Job Register file. See category codes below</t>
        </is>
      </c>
    </row>
    <row r="25">
      <c r="A25" s="15" t="inlineStr">
        <is>
          <t xml:space="preserve">  Library Number</t>
        </is>
      </c>
      <c r="B25" s="15" t="inlineStr">
        <is>
          <t xml:space="preserve">  L[CC][####]</t>
        </is>
      </c>
      <c r="C25" s="16" t="inlineStr">
        <is>
          <t xml:space="preserve">  L030001</t>
        </is>
      </c>
      <c r="D25" s="15" t="inlineStr">
        <is>
          <t xml:space="preserve">  Standalone reusable WO. Derived from or parallel to job scopes</t>
        </is>
      </c>
    </row>
    <row r="27">
      <c r="A27" s="3" t="inlineStr">
        <is>
          <t xml:space="preserve">  JOB CATEGORY CODES</t>
        </is>
      </c>
    </row>
    <row r="28">
      <c r="A28" s="8" t="inlineStr">
        <is>
          <t xml:space="preserve">  Category Code</t>
        </is>
      </c>
      <c r="B28" s="8" t="inlineStr">
        <is>
          <t xml:space="preserve">  Discipline</t>
        </is>
      </c>
      <c r="C28" s="8" t="inlineStr">
        <is>
          <t xml:space="preserve">  Job Number Example</t>
        </is>
      </c>
      <c r="D28" s="8" t="inlineStr">
        <is>
          <t xml:space="preserve">  Notes</t>
        </is>
      </c>
    </row>
    <row r="29">
      <c r="A29" s="17" t="inlineStr">
        <is>
          <t xml:space="preserve">  03</t>
        </is>
      </c>
      <c r="B29" s="17" t="inlineStr">
        <is>
          <t xml:space="preserve">  Electrical</t>
        </is>
      </c>
      <c r="C29" s="18" t="inlineStr">
        <is>
          <t xml:space="preserve">  B260042-J030001</t>
        </is>
      </c>
      <c r="D29" s="18" t="inlineStr">
        <is>
          <t xml:space="preserve">  Sequence restarts at 0001 for each new build</t>
        </is>
      </c>
    </row>
    <row r="30">
      <c r="A30" s="19" t="inlineStr">
        <is>
          <t xml:space="preserve">  06</t>
        </is>
      </c>
      <c r="B30" s="19" t="inlineStr">
        <is>
          <t xml:space="preserve">  Mechanical</t>
        </is>
      </c>
      <c r="C30" s="20" t="inlineStr">
        <is>
          <t xml:space="preserve">  B260042-J060001</t>
        </is>
      </c>
      <c r="D30" s="20" t="inlineStr">
        <is>
          <t xml:space="preserve">  Sequence restarts at 0001 for each new build</t>
        </is>
      </c>
    </row>
    <row r="31">
      <c r="A31" s="21" t="inlineStr">
        <is>
          <t xml:space="preserve">  09</t>
        </is>
      </c>
      <c r="B31" s="21" t="inlineStr">
        <is>
          <t xml:space="preserve">  Hardware</t>
        </is>
      </c>
      <c r="C31" s="22" t="inlineStr">
        <is>
          <t xml:space="preserve">  B260042-J090001</t>
        </is>
      </c>
      <c r="D31" s="22" t="inlineStr">
        <is>
          <t xml:space="preserve">  Sequence restarts at 0001 for each new build</t>
        </is>
      </c>
    </row>
    <row r="32" ht="30" customHeight="1">
      <c r="A32" s="23" t="inlineStr">
        <is>
          <t xml:space="preserve">  ⚠  Library Numbers are global and never reset. L000001 refers to the same work order across all years and projects. Jobs are per-build; Library entries are global.</t>
        </is>
      </c>
    </row>
    <row r="33">
      <c r="A33" s="24" t="inlineStr">
        <is>
          <t xml:space="preserve">  15</t>
        </is>
      </c>
      <c r="B33" s="25" t="n"/>
      <c r="C33" s="25" t="n"/>
      <c r="D33" s="25" t="n"/>
      <c r="E33" s="25" t="n"/>
      <c r="F33" s="26" t="n"/>
    </row>
    <row r="34">
      <c r="A34" s="27" t="inlineStr">
        <is>
          <t xml:space="preserve">  RULES</t>
        </is>
      </c>
      <c r="B34" s="25" t="n"/>
      <c r="C34" s="25" t="n"/>
      <c r="D34" s="25" t="n"/>
      <c r="E34" s="25" t="n"/>
      <c r="F34" s="26" t="n"/>
    </row>
    <row r="35" ht="22" customHeight="1">
      <c r="A35" s="28" t="inlineStr">
        <is>
          <t xml:space="preserve">  ▶  Never reuse a number — mark voided rows as VOID in the Status column.</t>
        </is>
      </c>
      <c r="B35" s="29" t="n"/>
      <c r="C35" s="29" t="n"/>
      <c r="D35" s="29" t="n"/>
      <c r="E35" s="29" t="n"/>
      <c r="F35" s="29" t="n"/>
    </row>
    <row r="36" ht="22" customHeight="1">
      <c r="A36" s="30" t="inlineStr">
        <is>
          <t xml:space="preserve">  ▶  Quote and Build numbers: 4-digit padding ([YY]0001 onward). Job sequences: 4-digit per category per build (0001 onward). Library: 6-digit (000001 onward).</t>
        </is>
      </c>
      <c r="B36" s="29" t="n"/>
      <c r="C36" s="29" t="n"/>
      <c r="D36" s="29" t="n"/>
      <c r="E36" s="29" t="n"/>
      <c r="F36" s="29" t="n"/>
    </row>
    <row r="37" ht="22" customHeight="1">
      <c r="A37" s="28" t="inlineStr">
        <is>
          <t xml:space="preserve">  ▶  Quote and Build numbers carry a year prefix (YY) but are otherwise global and never reset.</t>
        </is>
      </c>
      <c r="B37" s="29" t="n"/>
      <c r="C37" s="29" t="n"/>
      <c r="D37" s="29" t="n"/>
      <c r="E37" s="29" t="n"/>
      <c r="F37" s="29" t="n"/>
    </row>
    <row r="38" ht="22" customHeight="1">
      <c r="A38" s="30" t="inlineStr">
        <is>
          <t xml:space="preserve">  ▶  When a quote is awarded, the Build number is the same [YY][####] with B instead of Q. No separate build sequence exists.</t>
        </is>
      </c>
      <c r="B38" s="29" t="n"/>
      <c r="C38" s="29" t="n"/>
      <c r="D38" s="29" t="n"/>
      <c r="E38" s="29" t="n"/>
      <c r="F38" s="29" t="n"/>
    </row>
    <row r="39" ht="22" customHeight="1">
      <c r="A39" s="28" t="inlineStr">
        <is>
          <t xml:space="preserve">  ▶  A quote that does not convert keeps its Q number — do not delete or reassign it.</t>
        </is>
      </c>
      <c r="B39" s="29" t="n"/>
      <c r="C39" s="29" t="n"/>
      <c r="D39" s="29" t="n"/>
      <c r="E39" s="29" t="n"/>
      <c r="F39" s="29" t="n"/>
    </row>
    <row r="40" ht="22" customHeight="1">
      <c r="A40" s="30" t="inlineStr">
        <is>
          <t xml:space="preserve">  ▶  Job sequences restart at 0001 for each category on each new build (J030001 on B260042 ≠ J030001 on B260043).</t>
        </is>
      </c>
      <c r="B40" s="29" t="n"/>
      <c r="C40" s="29" t="n"/>
      <c r="D40" s="29" t="n"/>
      <c r="E40" s="29" t="n"/>
      <c r="F40" s="29" t="n"/>
    </row>
    <row r="41" ht="22" customHeight="1">
      <c r="A41" s="31" t="inlineStr">
        <is>
          <t xml:space="preserve">  ▶  Library Numbers are defined once and referenced across many builds. Do not create duplicates.</t>
        </is>
      </c>
      <c r="B41" s="29" t="n"/>
      <c r="C41" s="29" t="n"/>
      <c r="D41" s="29" t="n"/>
      <c r="E41" s="29" t="n"/>
      <c r="F41" s="29" t="n"/>
    </row>
    <row r="42" ht="22" customHeight="1">
      <c r="A42" s="32" t="inlineStr">
        <is>
          <t xml:space="preserve">  ▶  When a build has both disciplines, open a J03 job and a J06 job independently.</t>
        </is>
      </c>
      <c r="B42" s="29" t="n"/>
      <c r="C42" s="29" t="n"/>
      <c r="D42" s="29" t="n"/>
      <c r="E42" s="29" t="n"/>
      <c r="F42" s="29" t="n"/>
    </row>
  </sheetData>
  <mergeCells count="15">
    <mergeCell ref="A38:F38"/>
    <mergeCell ref="A33:F33"/>
    <mergeCell ref="A41:F41"/>
    <mergeCell ref="A42:F42"/>
    <mergeCell ref="A36:F36"/>
    <mergeCell ref="A37:F37"/>
    <mergeCell ref="A32:F32"/>
    <mergeCell ref="A27:F27"/>
    <mergeCell ref="A34:F34"/>
    <mergeCell ref="A12:F12"/>
    <mergeCell ref="A4:F4"/>
    <mergeCell ref="A35:F35"/>
    <mergeCell ref="A20:F20"/>
    <mergeCell ref="A40:F40"/>
    <mergeCell ref="A39:F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22222"/>
    <outlinePr summaryBelow="1" summaryRight="1"/>
    <pageSetUpPr/>
  </sheetPr>
  <dimension ref="A1:L3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12" customWidth="1" min="3" max="3"/>
    <col width="26" customWidth="1" min="4" max="4"/>
    <col width="14" customWidth="1" min="5" max="5"/>
    <col width="44" customWidth="1" min="6" max="6"/>
    <col width="14" customWidth="1" min="7" max="7"/>
    <col width="16" customWidth="1" min="8" max="8"/>
    <col width="12" customWidth="1" min="9" max="9"/>
    <col width="14" customWidth="1" min="10" max="10"/>
    <col width="14" customWidth="1" min="11" max="11"/>
    <col width="32" customWidth="1" min="12" max="12"/>
  </cols>
  <sheetData>
    <row r="1" ht="36" customHeight="1">
      <c r="A1" s="1" t="inlineStr">
        <is>
          <t>Quote Register</t>
        </is>
      </c>
    </row>
    <row r="2">
      <c r="I2" s="33" t="inlineStr">
        <is>
          <t>Total Quotes:</t>
        </is>
      </c>
      <c r="J2" s="34">
        <f>COUNTA(A5:A37)</f>
        <v/>
      </c>
      <c r="K2" s="33" t="inlineStr">
        <is>
          <t>Awarded:</t>
        </is>
      </c>
      <c r="L2" s="35">
        <f>COUNTIF(I5:I37,"Awarded")</f>
        <v/>
      </c>
    </row>
    <row r="3">
      <c r="A3" s="36" t="inlineStr">
        <is>
          <t xml:space="preserve">  QUOTES — All customer quote requests  |  One row per quote  |  QT-[YY]-[CLIENT]-[####]</t>
        </is>
      </c>
    </row>
    <row r="4" ht="22" customHeight="1">
      <c r="A4" s="37" t="inlineStr">
        <is>
          <t>Quote Number</t>
        </is>
      </c>
      <c r="B4" s="37" t="inlineStr">
        <is>
          <t>Year</t>
        </is>
      </c>
      <c r="C4" s="37" t="inlineStr">
        <is>
          <t>Client Code</t>
        </is>
      </c>
      <c r="D4" s="37" t="inlineStr">
        <is>
          <t>Client Name</t>
        </is>
      </c>
      <c r="E4" s="37" t="inlineStr">
        <is>
          <t>Quote Date</t>
        </is>
      </c>
      <c r="F4" s="37" t="inlineStr">
        <is>
          <t>Description / Scope</t>
        </is>
      </c>
      <c r="G4" s="37" t="inlineStr">
        <is>
          <t>Est. Value ($)</t>
        </is>
      </c>
      <c r="H4" s="37" t="inlineStr">
        <is>
          <t>Submitted By</t>
        </is>
      </c>
      <c r="I4" s="37" t="inlineStr">
        <is>
          <t>Status</t>
        </is>
      </c>
      <c r="J4" s="37" t="inlineStr">
        <is>
          <t>Build Number (if awarded)</t>
        </is>
      </c>
      <c r="K4" s="37" t="inlineStr">
        <is>
          <t>Award Date</t>
        </is>
      </c>
      <c r="L4" s="37" t="inlineStr">
        <is>
          <t>Notes</t>
        </is>
      </c>
    </row>
    <row r="5" ht="20" customHeight="1">
      <c r="A5" s="38" t="inlineStr">
        <is>
          <t>QT-26-TFS-0001</t>
        </is>
      </c>
      <c r="B5" s="38" t="inlineStr">
        <is>
          <t>2026</t>
        </is>
      </c>
      <c r="C5" s="38" t="inlineStr">
        <is>
          <t>TFS</t>
        </is>
      </c>
      <c r="D5" s="38" t="inlineStr">
        <is>
          <t>Thermo Fisher Scientific</t>
        </is>
      </c>
      <c r="E5" s="39" t="inlineStr">
        <is>
          <t>2026-01-15</t>
        </is>
      </c>
      <c r="F5" s="40" t="inlineStr">
        <is>
          <t>Robotic box packing line – Phase 2</t>
        </is>
      </c>
      <c r="G5" s="41" t="n">
        <v>185000</v>
      </c>
      <c r="H5" s="38" t="inlineStr">
        <is>
          <t>G. Smith</t>
        </is>
      </c>
      <c r="I5" s="38" t="inlineStr">
        <is>
          <t>Awarded</t>
        </is>
      </c>
      <c r="J5" s="38" t="inlineStr">
        <is>
          <t>B260001</t>
        </is>
      </c>
      <c r="K5" s="39" t="inlineStr">
        <is>
          <t>2026-02-01</t>
        </is>
      </c>
      <c r="L5" s="38" t="inlineStr">
        <is>
          <t>PO received</t>
        </is>
      </c>
    </row>
    <row r="6" ht="20" customHeight="1">
      <c r="A6" s="42" t="inlineStr">
        <is>
          <t>QT-26-TFS-0002</t>
        </is>
      </c>
      <c r="B6" s="42" t="inlineStr">
        <is>
          <t>2026</t>
        </is>
      </c>
      <c r="C6" s="42" t="inlineStr">
        <is>
          <t>TFS</t>
        </is>
      </c>
      <c r="D6" s="42" t="inlineStr">
        <is>
          <t>Thermo Fisher Scientific</t>
        </is>
      </c>
      <c r="E6" s="43" t="inlineStr">
        <is>
          <t>2026-02-10</t>
        </is>
      </c>
      <c r="F6" s="44" t="inlineStr">
        <is>
          <t>Vision inspection system – Station 4</t>
        </is>
      </c>
      <c r="G6" s="45" t="n">
        <v>42500</v>
      </c>
      <c r="H6" s="42" t="inlineStr">
        <is>
          <t>G. Smith</t>
        </is>
      </c>
      <c r="I6" s="42" t="inlineStr">
        <is>
          <t>In Review</t>
        </is>
      </c>
      <c r="J6" s="42" t="inlineStr"/>
      <c r="K6" s="43" t="inlineStr"/>
      <c r="L6" s="42" t="inlineStr">
        <is>
          <t>Awaiting scope approval</t>
        </is>
      </c>
    </row>
    <row r="7" ht="20" customHeight="1">
      <c r="A7" s="46" t="inlineStr">
        <is>
          <t>QT-26-ACM-0003</t>
        </is>
      </c>
      <c r="B7" s="46" t="inlineStr">
        <is>
          <t>2026</t>
        </is>
      </c>
      <c r="C7" s="46" t="inlineStr">
        <is>
          <t>ACM</t>
        </is>
      </c>
      <c r="D7" s="46" t="inlineStr">
        <is>
          <t>Acme Manufacturing</t>
        </is>
      </c>
      <c r="E7" s="47" t="inlineStr">
        <is>
          <t>2026-03-01</t>
        </is>
      </c>
      <c r="F7" s="48" t="inlineStr">
        <is>
          <t>Conveyor integration – Line C</t>
        </is>
      </c>
      <c r="G7" s="49" t="n">
        <v>67800</v>
      </c>
      <c r="H7" s="46" t="inlineStr">
        <is>
          <t>G. Smith</t>
        </is>
      </c>
      <c r="I7" s="46" t="inlineStr">
        <is>
          <t>Pending</t>
        </is>
      </c>
      <c r="J7" s="46" t="inlineStr"/>
      <c r="K7" s="47" t="inlineStr"/>
      <c r="L7" s="46" t="inlineStr"/>
    </row>
    <row r="8" ht="20" customHeight="1">
      <c r="A8" s="50" t="n"/>
      <c r="B8" s="50" t="n"/>
      <c r="C8" s="50" t="n"/>
      <c r="D8" s="50" t="n"/>
      <c r="E8" s="50" t="n"/>
      <c r="F8" s="50" t="n"/>
      <c r="G8" s="50" t="n"/>
      <c r="H8" s="50" t="n"/>
      <c r="I8" s="50" t="n"/>
      <c r="J8" s="50" t="n"/>
      <c r="K8" s="50" t="n"/>
      <c r="L8" s="50" t="n"/>
    </row>
    <row r="9" ht="20" customHeight="1">
      <c r="A9" s="51" t="n"/>
      <c r="B9" s="51" t="n"/>
      <c r="C9" s="51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</row>
    <row r="10" ht="20" customHeight="1">
      <c r="A10" s="50" t="n"/>
      <c r="B10" s="50" t="n"/>
      <c r="C10" s="50" t="n"/>
      <c r="D10" s="50" t="n"/>
      <c r="E10" s="50" t="n"/>
      <c r="F10" s="50" t="n"/>
      <c r="G10" s="50" t="n"/>
      <c r="H10" s="50" t="n"/>
      <c r="I10" s="50" t="n"/>
      <c r="J10" s="50" t="n"/>
      <c r="K10" s="50" t="n"/>
      <c r="L10" s="50" t="n"/>
    </row>
    <row r="11" ht="20" customHeight="1">
      <c r="A11" s="51" t="n"/>
      <c r="B11" s="51" t="n"/>
      <c r="C11" s="51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51" t="n"/>
    </row>
    <row r="12" ht="20" customHeight="1">
      <c r="A12" s="50" t="n"/>
      <c r="B12" s="50" t="n"/>
      <c r="C12" s="50" t="n"/>
      <c r="D12" s="50" t="n"/>
      <c r="E12" s="50" t="n"/>
      <c r="F12" s="50" t="n"/>
      <c r="G12" s="50" t="n"/>
      <c r="H12" s="50" t="n"/>
      <c r="I12" s="50" t="n"/>
      <c r="J12" s="50" t="n"/>
      <c r="K12" s="50" t="n"/>
      <c r="L12" s="50" t="n"/>
    </row>
    <row r="13" ht="20" customHeight="1">
      <c r="A13" s="51" t="n"/>
      <c r="B13" s="51" t="n"/>
      <c r="C13" s="51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</row>
    <row r="14" ht="20" customHeight="1">
      <c r="A14" s="50" t="n"/>
      <c r="B14" s="50" t="n"/>
      <c r="C14" s="50" t="n"/>
      <c r="D14" s="50" t="n"/>
      <c r="E14" s="50" t="n"/>
      <c r="F14" s="50" t="n"/>
      <c r="G14" s="50" t="n"/>
      <c r="H14" s="50" t="n"/>
      <c r="I14" s="50" t="n"/>
      <c r="J14" s="50" t="n"/>
      <c r="K14" s="50" t="n"/>
      <c r="L14" s="50" t="n"/>
    </row>
    <row r="15" ht="20" customHeight="1">
      <c r="A15" s="51" t="n"/>
      <c r="B15" s="51" t="n"/>
      <c r="C15" s="51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</row>
    <row r="16" ht="20" customHeight="1">
      <c r="A16" s="50" t="n"/>
      <c r="B16" s="50" t="n"/>
      <c r="C16" s="50" t="n"/>
      <c r="D16" s="50" t="n"/>
      <c r="E16" s="50" t="n"/>
      <c r="F16" s="50" t="n"/>
      <c r="G16" s="50" t="n"/>
      <c r="H16" s="50" t="n"/>
      <c r="I16" s="50" t="n"/>
      <c r="J16" s="50" t="n"/>
      <c r="K16" s="50" t="n"/>
      <c r="L16" s="50" t="n"/>
    </row>
    <row r="17" ht="20" customHeight="1">
      <c r="A17" s="51" t="n"/>
      <c r="B17" s="51" t="n"/>
      <c r="C17" s="51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</row>
    <row r="18" ht="20" customHeight="1">
      <c r="A18" s="50" t="n"/>
      <c r="B18" s="50" t="n"/>
      <c r="C18" s="50" t="n"/>
      <c r="D18" s="50" t="n"/>
      <c r="E18" s="50" t="n"/>
      <c r="F18" s="50" t="n"/>
      <c r="G18" s="50" t="n"/>
      <c r="H18" s="50" t="n"/>
      <c r="I18" s="50" t="n"/>
      <c r="J18" s="50" t="n"/>
      <c r="K18" s="50" t="n"/>
      <c r="L18" s="50" t="n"/>
    </row>
    <row r="19" ht="20" customHeight="1">
      <c r="A19" s="51" t="n"/>
      <c r="B19" s="51" t="n"/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</row>
    <row r="20" ht="20" customHeight="1">
      <c r="A20" s="50" t="n"/>
      <c r="B20" s="50" t="n"/>
      <c r="C20" s="50" t="n"/>
      <c r="D20" s="50" t="n"/>
      <c r="E20" s="50" t="n"/>
      <c r="F20" s="50" t="n"/>
      <c r="G20" s="50" t="n"/>
      <c r="H20" s="50" t="n"/>
      <c r="I20" s="50" t="n"/>
      <c r="J20" s="50" t="n"/>
      <c r="K20" s="50" t="n"/>
      <c r="L20" s="50" t="n"/>
    </row>
    <row r="21" ht="20" customHeight="1">
      <c r="A21" s="51" t="n"/>
      <c r="B21" s="51" t="n"/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  <c r="L21" s="51" t="n"/>
    </row>
    <row r="22" ht="20" customHeight="1">
      <c r="A22" s="50" t="n"/>
      <c r="B22" s="50" t="n"/>
      <c r="C22" s="50" t="n"/>
      <c r="D22" s="50" t="n"/>
      <c r="E22" s="50" t="n"/>
      <c r="F22" s="50" t="n"/>
      <c r="G22" s="50" t="n"/>
      <c r="H22" s="50" t="n"/>
      <c r="I22" s="50" t="n"/>
      <c r="J22" s="50" t="n"/>
      <c r="K22" s="50" t="n"/>
      <c r="L22" s="50" t="n"/>
    </row>
    <row r="23" ht="20" customHeight="1">
      <c r="A23" s="51" t="n"/>
      <c r="B23" s="51" t="n"/>
      <c r="C23" s="51" t="n"/>
      <c r="D23" s="51" t="n"/>
      <c r="E23" s="51" t="n"/>
      <c r="F23" s="51" t="n"/>
      <c r="G23" s="51" t="n"/>
      <c r="H23" s="51" t="n"/>
      <c r="I23" s="51" t="n"/>
      <c r="J23" s="51" t="n"/>
      <c r="K23" s="51" t="n"/>
      <c r="L23" s="51" t="n"/>
    </row>
    <row r="24" ht="20" customHeight="1">
      <c r="A24" s="50" t="n"/>
      <c r="B24" s="50" t="n"/>
      <c r="C24" s="50" t="n"/>
      <c r="D24" s="50" t="n"/>
      <c r="E24" s="50" t="n"/>
      <c r="F24" s="50" t="n"/>
      <c r="G24" s="50" t="n"/>
      <c r="H24" s="50" t="n"/>
      <c r="I24" s="50" t="n"/>
      <c r="J24" s="50" t="n"/>
      <c r="K24" s="50" t="n"/>
      <c r="L24" s="50" t="n"/>
    </row>
    <row r="25" ht="20" customHeight="1">
      <c r="A25" s="51" t="n"/>
      <c r="B25" s="51" t="n"/>
      <c r="C25" s="51" t="n"/>
      <c r="D25" s="51" t="n"/>
      <c r="E25" s="51" t="n"/>
      <c r="F25" s="51" t="n"/>
      <c r="G25" s="51" t="n"/>
      <c r="H25" s="51" t="n"/>
      <c r="I25" s="51" t="n"/>
      <c r="J25" s="51" t="n"/>
      <c r="K25" s="51" t="n"/>
      <c r="L25" s="51" t="n"/>
    </row>
    <row r="26" ht="20" customHeight="1">
      <c r="A26" s="50" t="n"/>
      <c r="B26" s="50" t="n"/>
      <c r="C26" s="50" t="n"/>
      <c r="D26" s="50" t="n"/>
      <c r="E26" s="50" t="n"/>
      <c r="F26" s="50" t="n"/>
      <c r="G26" s="50" t="n"/>
      <c r="H26" s="50" t="n"/>
      <c r="I26" s="50" t="n"/>
      <c r="J26" s="50" t="n"/>
      <c r="K26" s="50" t="n"/>
      <c r="L26" s="50" t="n"/>
    </row>
    <row r="27" ht="20" customHeight="1">
      <c r="A27" s="51" t="n"/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</row>
    <row r="28" ht="20" customHeight="1">
      <c r="A28" s="50" t="n"/>
      <c r="B28" s="50" t="n"/>
      <c r="C28" s="50" t="n"/>
      <c r="D28" s="50" t="n"/>
      <c r="E28" s="50" t="n"/>
      <c r="F28" s="50" t="n"/>
      <c r="G28" s="50" t="n"/>
      <c r="H28" s="50" t="n"/>
      <c r="I28" s="50" t="n"/>
      <c r="J28" s="50" t="n"/>
      <c r="K28" s="50" t="n"/>
      <c r="L28" s="50" t="n"/>
    </row>
    <row r="29" ht="20" customHeight="1">
      <c r="A29" s="51" t="n"/>
      <c r="B29" s="51" t="n"/>
      <c r="C29" s="51" t="n"/>
      <c r="D29" s="51" t="n"/>
      <c r="E29" s="51" t="n"/>
      <c r="F29" s="51" t="n"/>
      <c r="G29" s="51" t="n"/>
      <c r="H29" s="51" t="n"/>
      <c r="I29" s="51" t="n"/>
      <c r="J29" s="51" t="n"/>
      <c r="K29" s="51" t="n"/>
      <c r="L29" s="51" t="n"/>
    </row>
    <row r="30" ht="20" customHeight="1">
      <c r="A30" s="50" t="n"/>
      <c r="B30" s="50" t="n"/>
      <c r="C30" s="50" t="n"/>
      <c r="D30" s="50" t="n"/>
      <c r="E30" s="50" t="n"/>
      <c r="F30" s="50" t="n"/>
      <c r="G30" s="50" t="n"/>
      <c r="H30" s="50" t="n"/>
      <c r="I30" s="50" t="n"/>
      <c r="J30" s="50" t="n"/>
      <c r="K30" s="50" t="n"/>
      <c r="L30" s="50" t="n"/>
    </row>
    <row r="31" ht="20" customHeight="1">
      <c r="A31" s="51" t="n"/>
      <c r="B31" s="51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</row>
    <row r="32" ht="20" customHeight="1">
      <c r="A32" s="50" t="n"/>
      <c r="B32" s="50" t="n"/>
      <c r="C32" s="50" t="n"/>
      <c r="D32" s="50" t="n"/>
      <c r="E32" s="50" t="n"/>
      <c r="F32" s="50" t="n"/>
      <c r="G32" s="50" t="n"/>
      <c r="H32" s="50" t="n"/>
      <c r="I32" s="50" t="n"/>
      <c r="J32" s="50" t="n"/>
      <c r="K32" s="50" t="n"/>
      <c r="L32" s="50" t="n"/>
    </row>
    <row r="33" ht="20" customHeight="1">
      <c r="A33" s="51" t="n"/>
      <c r="B33" s="51" t="n"/>
      <c r="C33" s="51" t="n"/>
      <c r="D33" s="51" t="n"/>
      <c r="E33" s="51" t="n"/>
      <c r="F33" s="51" t="n"/>
      <c r="G33" s="51" t="n"/>
      <c r="H33" s="51" t="n"/>
      <c r="I33" s="51" t="n"/>
      <c r="J33" s="51" t="n"/>
      <c r="K33" s="51" t="n"/>
      <c r="L33" s="51" t="n"/>
    </row>
    <row r="34" ht="20" customHeight="1">
      <c r="A34" s="50" t="n"/>
      <c r="B34" s="50" t="n"/>
      <c r="C34" s="50" t="n"/>
      <c r="D34" s="50" t="n"/>
      <c r="E34" s="50" t="n"/>
      <c r="F34" s="50" t="n"/>
      <c r="G34" s="50" t="n"/>
      <c r="H34" s="50" t="n"/>
      <c r="I34" s="50" t="n"/>
      <c r="J34" s="50" t="n"/>
      <c r="K34" s="50" t="n"/>
      <c r="L34" s="50" t="n"/>
    </row>
    <row r="35" ht="20" customHeight="1">
      <c r="A35" s="51" t="n"/>
      <c r="B35" s="51" t="n"/>
      <c r="C35" s="51" t="n"/>
      <c r="D35" s="51" t="n"/>
      <c r="E35" s="51" t="n"/>
      <c r="F35" s="51" t="n"/>
      <c r="G35" s="51" t="n"/>
      <c r="H35" s="51" t="n"/>
      <c r="I35" s="51" t="n"/>
      <c r="J35" s="51" t="n"/>
      <c r="K35" s="51" t="n"/>
      <c r="L35" s="51" t="n"/>
    </row>
    <row r="36" ht="20" customHeight="1">
      <c r="A36" s="50" t="n"/>
      <c r="B36" s="50" t="n"/>
      <c r="C36" s="50" t="n"/>
      <c r="D36" s="50" t="n"/>
      <c r="E36" s="50" t="n"/>
      <c r="F36" s="50" t="n"/>
      <c r="G36" s="50" t="n"/>
      <c r="H36" s="50" t="n"/>
      <c r="I36" s="50" t="n"/>
      <c r="J36" s="50" t="n"/>
      <c r="K36" s="50" t="n"/>
      <c r="L36" s="50" t="n"/>
    </row>
    <row r="37" ht="20" customHeight="1">
      <c r="A37" s="51" t="n"/>
      <c r="B37" s="51" t="n"/>
      <c r="C37" s="51" t="n"/>
      <c r="D37" s="51" t="n"/>
      <c r="E37" s="51" t="n"/>
      <c r="F37" s="51" t="n"/>
      <c r="G37" s="51" t="n"/>
      <c r="H37" s="51" t="n"/>
      <c r="I37" s="51" t="n"/>
      <c r="J37" s="51" t="n"/>
      <c r="K37" s="51" t="n"/>
      <c r="L37" s="51" t="n"/>
    </row>
  </sheetData>
  <conditionalFormatting sqref="A5:L37">
    <cfRule type="expression" priority="1" dxfId="0">
      <formula>$I5="Pending"</formula>
    </cfRule>
    <cfRule type="expression" priority="2" dxfId="1">
      <formula>$I5="In Review"</formula>
    </cfRule>
    <cfRule type="expression" priority="3" dxfId="2">
      <formula>$I5="Awarded"</formula>
    </cfRule>
    <cfRule type="expression" priority="4" dxfId="3">
      <formula>$I5="Lost"</formula>
    </cfRule>
    <cfRule type="expression" priority="5" dxfId="4">
      <formula>$I5="VOID"</formula>
    </cfRule>
  </conditionalFormatting>
  <dataValidations count="1">
    <dataValidation sqref="I5:I37" showDropDown="0" showInputMessage="0" showErrorMessage="0" allowBlank="1" type="list">
      <formula1>"Pending,In Review,Awarded,Lost,VOID"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N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8" customWidth="1" min="3" max="3"/>
    <col width="12" customWidth="1" min="4" max="4"/>
    <col width="26" customWidth="1" min="5" max="5"/>
    <col width="42" customWidth="1" min="6" max="6"/>
    <col width="16" customWidth="1" min="7" max="7"/>
    <col width="18" customWidth="1" min="8" max="8"/>
    <col width="13" customWidth="1" min="9" max="9"/>
    <col width="16" customWidth="1" min="10" max="10"/>
    <col width="16" customWidth="1" min="11" max="11"/>
    <col width="13" customWidth="1" min="12" max="12"/>
    <col width="8" customWidth="1" min="13" max="13"/>
    <col width="32" customWidth="1" min="14" max="14"/>
  </cols>
  <sheetData>
    <row r="1" ht="36" customHeight="1">
      <c r="A1" s="1" t="inlineStr">
        <is>
          <t>Build Register</t>
        </is>
      </c>
    </row>
    <row r="2">
      <c r="K2" s="33" t="inlineStr">
        <is>
          <t>Total Builds:</t>
        </is>
      </c>
      <c r="L2" s="34">
        <f>COUNTA(A5:A37)</f>
        <v/>
      </c>
      <c r="M2" s="33" t="inlineStr">
        <is>
          <t>In Progress:</t>
        </is>
      </c>
      <c r="N2" s="35">
        <f>COUNTIF(L5:L37,"In Progress")</f>
        <v/>
      </c>
    </row>
    <row r="3">
      <c r="A3" s="36" t="inlineStr">
        <is>
          <t xml:space="preserve">  BUILDS — Awarded projects  |  One row per build  |  B[YY][####]  e.g. B260031</t>
        </is>
      </c>
    </row>
    <row r="4" ht="22" customHeight="1">
      <c r="A4" s="37" t="inlineStr">
        <is>
          <t>Build Number</t>
        </is>
      </c>
      <c r="B4" s="37" t="inlineStr">
        <is>
          <t>Year</t>
        </is>
      </c>
      <c r="C4" s="37" t="inlineStr">
        <is>
          <t>Quote Number</t>
        </is>
      </c>
      <c r="D4" s="37" t="inlineStr">
        <is>
          <t>Client Code</t>
        </is>
      </c>
      <c r="E4" s="37" t="inlineStr">
        <is>
          <t>Client Name</t>
        </is>
      </c>
      <c r="F4" s="37" t="inlineStr">
        <is>
          <t>Project Description</t>
        </is>
      </c>
      <c r="G4" s="37" t="inlineStr">
        <is>
          <t>Contract Value ($)</t>
        </is>
      </c>
      <c r="H4" s="37" t="inlineStr">
        <is>
          <t>Project Manager</t>
        </is>
      </c>
      <c r="I4" s="37" t="inlineStr">
        <is>
          <t>Start Date</t>
        </is>
      </c>
      <c r="J4" s="37" t="inlineStr">
        <is>
          <t>Target End Date</t>
        </is>
      </c>
      <c r="K4" s="37" t="inlineStr">
        <is>
          <t>Actual End Date</t>
        </is>
      </c>
      <c r="L4" s="37" t="inlineStr">
        <is>
          <t>Build Status</t>
        </is>
      </c>
      <c r="M4" s="37" t="inlineStr">
        <is>
          <t># Jobs</t>
        </is>
      </c>
      <c r="N4" s="37" t="inlineStr">
        <is>
          <t>Notes</t>
        </is>
      </c>
    </row>
    <row r="5" ht="20" customHeight="1">
      <c r="A5" s="46" t="inlineStr">
        <is>
          <t>B260001</t>
        </is>
      </c>
      <c r="B5" s="46" t="inlineStr">
        <is>
          <t>2026</t>
        </is>
      </c>
      <c r="C5" s="46" t="inlineStr">
        <is>
          <t>QT-26-TFS-0001</t>
        </is>
      </c>
      <c r="D5" s="46" t="inlineStr">
        <is>
          <t>TFS</t>
        </is>
      </c>
      <c r="E5" s="46" t="inlineStr">
        <is>
          <t>Thermo Fisher Scientific</t>
        </is>
      </c>
      <c r="F5" s="48" t="inlineStr">
        <is>
          <t>Robotic box packing line – Phase 2</t>
        </is>
      </c>
      <c r="G5" s="49" t="n">
        <v>185000</v>
      </c>
      <c r="H5" s="46" t="inlineStr">
        <is>
          <t>G. Smith</t>
        </is>
      </c>
      <c r="I5" s="47" t="inlineStr">
        <is>
          <t>2026-02-01</t>
        </is>
      </c>
      <c r="J5" s="47" t="inlineStr">
        <is>
          <t>2026-08-15</t>
        </is>
      </c>
      <c r="K5" s="47" t="inlineStr"/>
      <c r="L5" s="46" t="inlineStr">
        <is>
          <t>In Progress</t>
        </is>
      </c>
      <c r="M5" s="46" t="n">
        <v>2</v>
      </c>
      <c r="N5" s="46" t="inlineStr">
        <is>
          <t>On schedule</t>
        </is>
      </c>
    </row>
    <row r="6" ht="20" customHeight="1">
      <c r="A6" s="50" t="n"/>
      <c r="B6" s="50" t="n"/>
      <c r="C6" s="50" t="n"/>
      <c r="D6" s="50" t="n"/>
      <c r="E6" s="50" t="n"/>
      <c r="F6" s="50" t="n"/>
      <c r="G6" s="50" t="n"/>
      <c r="H6" s="50" t="n"/>
      <c r="I6" s="50" t="n"/>
      <c r="J6" s="50" t="n"/>
      <c r="K6" s="50" t="n"/>
      <c r="L6" s="50" t="n"/>
      <c r="M6" s="50" t="n"/>
      <c r="N6" s="50" t="n"/>
    </row>
    <row r="7" ht="20" customHeight="1">
      <c r="A7" s="51" t="n"/>
      <c r="B7" s="51" t="n"/>
      <c r="C7" s="51" t="n"/>
      <c r="D7" s="51" t="n"/>
      <c r="E7" s="51" t="n"/>
      <c r="F7" s="51" t="n"/>
      <c r="G7" s="51" t="n"/>
      <c r="H7" s="51" t="n"/>
      <c r="I7" s="51" t="n"/>
      <c r="J7" s="51" t="n"/>
      <c r="K7" s="51" t="n"/>
      <c r="L7" s="51" t="n"/>
      <c r="M7" s="51" t="n"/>
      <c r="N7" s="51" t="n"/>
    </row>
    <row r="8" ht="20" customHeight="1">
      <c r="A8" s="50" t="n"/>
      <c r="B8" s="50" t="n"/>
      <c r="C8" s="50" t="n"/>
      <c r="D8" s="50" t="n"/>
      <c r="E8" s="50" t="n"/>
      <c r="F8" s="50" t="n"/>
      <c r="G8" s="50" t="n"/>
      <c r="H8" s="50" t="n"/>
      <c r="I8" s="50" t="n"/>
      <c r="J8" s="50" t="n"/>
      <c r="K8" s="50" t="n"/>
      <c r="L8" s="50" t="n"/>
      <c r="M8" s="50" t="n"/>
      <c r="N8" s="50" t="n"/>
    </row>
    <row r="9" ht="20" customHeight="1">
      <c r="A9" s="51" t="n"/>
      <c r="B9" s="51" t="n"/>
      <c r="C9" s="51" t="n"/>
      <c r="D9" s="51" t="n"/>
      <c r="E9" s="51" t="n"/>
      <c r="F9" s="51" t="n"/>
      <c r="G9" s="51" t="n"/>
      <c r="H9" s="51" t="n"/>
      <c r="I9" s="51" t="n"/>
      <c r="J9" s="51" t="n"/>
      <c r="K9" s="51" t="n"/>
      <c r="L9" s="51" t="n"/>
      <c r="M9" s="51" t="n"/>
      <c r="N9" s="51" t="n"/>
    </row>
    <row r="10" ht="20" customHeight="1">
      <c r="A10" s="50" t="n"/>
      <c r="B10" s="50" t="n"/>
      <c r="C10" s="50" t="n"/>
      <c r="D10" s="50" t="n"/>
      <c r="E10" s="50" t="n"/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</row>
    <row r="11" ht="20" customHeight="1">
      <c r="A11" s="51" t="n"/>
      <c r="B11" s="51" t="n"/>
      <c r="C11" s="51" t="n"/>
      <c r="D11" s="51" t="n"/>
      <c r="E11" s="51" t="n"/>
      <c r="F11" s="51" t="n"/>
      <c r="G11" s="51" t="n"/>
      <c r="H11" s="51" t="n"/>
      <c r="I11" s="51" t="n"/>
      <c r="J11" s="51" t="n"/>
      <c r="K11" s="51" t="n"/>
      <c r="L11" s="51" t="n"/>
      <c r="M11" s="51" t="n"/>
      <c r="N11" s="51" t="n"/>
    </row>
    <row r="12" ht="20" customHeight="1">
      <c r="A12" s="50" t="n"/>
      <c r="B12" s="50" t="n"/>
      <c r="C12" s="50" t="n"/>
      <c r="D12" s="50" t="n"/>
      <c r="E12" s="50" t="n"/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</row>
    <row r="13" ht="20" customHeight="1">
      <c r="A13" s="51" t="n"/>
      <c r="B13" s="51" t="n"/>
      <c r="C13" s="51" t="n"/>
      <c r="D13" s="51" t="n"/>
      <c r="E13" s="51" t="n"/>
      <c r="F13" s="51" t="n"/>
      <c r="G13" s="51" t="n"/>
      <c r="H13" s="51" t="n"/>
      <c r="I13" s="51" t="n"/>
      <c r="J13" s="51" t="n"/>
      <c r="K13" s="51" t="n"/>
      <c r="L13" s="51" t="n"/>
      <c r="M13" s="51" t="n"/>
      <c r="N13" s="51" t="n"/>
    </row>
    <row r="14" ht="20" customHeight="1">
      <c r="A14" s="50" t="n"/>
      <c r="B14" s="50" t="n"/>
      <c r="C14" s="50" t="n"/>
      <c r="D14" s="50" t="n"/>
      <c r="E14" s="50" t="n"/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</row>
    <row r="15" ht="20" customHeight="1">
      <c r="A15" s="51" t="n"/>
      <c r="B15" s="51" t="n"/>
      <c r="C15" s="51" t="n"/>
      <c r="D15" s="51" t="n"/>
      <c r="E15" s="51" t="n"/>
      <c r="F15" s="51" t="n"/>
      <c r="G15" s="51" t="n"/>
      <c r="H15" s="51" t="n"/>
      <c r="I15" s="51" t="n"/>
      <c r="J15" s="51" t="n"/>
      <c r="K15" s="51" t="n"/>
      <c r="L15" s="51" t="n"/>
      <c r="M15" s="51" t="n"/>
      <c r="N15" s="51" t="n"/>
    </row>
    <row r="16" ht="20" customHeight="1">
      <c r="A16" s="50" t="n"/>
      <c r="B16" s="50" t="n"/>
      <c r="C16" s="50" t="n"/>
      <c r="D16" s="50" t="n"/>
      <c r="E16" s="50" t="n"/>
      <c r="F16" s="50" t="n"/>
      <c r="G16" s="50" t="n"/>
      <c r="H16" s="50" t="n"/>
      <c r="I16" s="50" t="n"/>
      <c r="J16" s="50" t="n"/>
      <c r="K16" s="50" t="n"/>
      <c r="L16" s="50" t="n"/>
      <c r="M16" s="50" t="n"/>
      <c r="N16" s="50" t="n"/>
    </row>
    <row r="17" ht="20" customHeight="1">
      <c r="A17" s="51" t="n"/>
      <c r="B17" s="51" t="n"/>
      <c r="C17" s="51" t="n"/>
      <c r="D17" s="51" t="n"/>
      <c r="E17" s="51" t="n"/>
      <c r="F17" s="51" t="n"/>
      <c r="G17" s="51" t="n"/>
      <c r="H17" s="51" t="n"/>
      <c r="I17" s="51" t="n"/>
      <c r="J17" s="51" t="n"/>
      <c r="K17" s="51" t="n"/>
      <c r="L17" s="51" t="n"/>
      <c r="M17" s="51" t="n"/>
      <c r="N17" s="51" t="n"/>
    </row>
    <row r="18" ht="20" customHeight="1">
      <c r="A18" s="50" t="n"/>
      <c r="B18" s="50" t="n"/>
      <c r="C18" s="50" t="n"/>
      <c r="D18" s="50" t="n"/>
      <c r="E18" s="50" t="n"/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</row>
    <row r="19" ht="20" customHeight="1">
      <c r="A19" s="51" t="n"/>
      <c r="B19" s="51" t="n"/>
      <c r="C19" s="51" t="n"/>
      <c r="D19" s="51" t="n"/>
      <c r="E19" s="51" t="n"/>
      <c r="F19" s="51" t="n"/>
      <c r="G19" s="51" t="n"/>
      <c r="H19" s="51" t="n"/>
      <c r="I19" s="51" t="n"/>
      <c r="J19" s="51" t="n"/>
      <c r="K19" s="51" t="n"/>
      <c r="L19" s="51" t="n"/>
      <c r="M19" s="51" t="n"/>
      <c r="N19" s="51" t="n"/>
    </row>
    <row r="20" ht="20" customHeight="1">
      <c r="A20" s="50" t="n"/>
      <c r="B20" s="50" t="n"/>
      <c r="C20" s="50" t="n"/>
      <c r="D20" s="50" t="n"/>
      <c r="E20" s="50" t="n"/>
      <c r="F20" s="50" t="n"/>
      <c r="G20" s="50" t="n"/>
      <c r="H20" s="50" t="n"/>
      <c r="I20" s="50" t="n"/>
      <c r="J20" s="50" t="n"/>
      <c r="K20" s="50" t="n"/>
      <c r="L20" s="50" t="n"/>
      <c r="M20" s="50" t="n"/>
      <c r="N20" s="50" t="n"/>
    </row>
    <row r="21" ht="20" customHeight="1">
      <c r="A21" s="51" t="n"/>
      <c r="B21" s="51" t="n"/>
      <c r="C21" s="51" t="n"/>
      <c r="D21" s="51" t="n"/>
      <c r="E21" s="51" t="n"/>
      <c r="F21" s="51" t="n"/>
      <c r="G21" s="51" t="n"/>
      <c r="H21" s="51" t="n"/>
      <c r="I21" s="51" t="n"/>
      <c r="J21" s="51" t="n"/>
      <c r="K21" s="51" t="n"/>
      <c r="L21" s="51" t="n"/>
      <c r="M21" s="51" t="n"/>
      <c r="N21" s="51" t="n"/>
    </row>
    <row r="22" ht="20" customHeight="1">
      <c r="A22" s="50" t="n"/>
      <c r="B22" s="50" t="n"/>
      <c r="C22" s="50" t="n"/>
      <c r="D22" s="50" t="n"/>
      <c r="E22" s="50" t="n"/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</row>
    <row r="23" ht="20" customHeight="1">
      <c r="A23" s="51" t="n"/>
      <c r="B23" s="51" t="n"/>
      <c r="C23" s="51" t="n"/>
      <c r="D23" s="51" t="n"/>
      <c r="E23" s="51" t="n"/>
      <c r="F23" s="51" t="n"/>
      <c r="G23" s="51" t="n"/>
      <c r="H23" s="51" t="n"/>
      <c r="I23" s="51" t="n"/>
      <c r="J23" s="51" t="n"/>
      <c r="K23" s="51" t="n"/>
      <c r="L23" s="51" t="n"/>
      <c r="M23" s="51" t="n"/>
      <c r="N23" s="51" t="n"/>
    </row>
    <row r="24" ht="20" customHeight="1">
      <c r="A24" s="50" t="n"/>
      <c r="B24" s="50" t="n"/>
      <c r="C24" s="50" t="n"/>
      <c r="D24" s="50" t="n"/>
      <c r="E24" s="50" t="n"/>
      <c r="F24" s="50" t="n"/>
      <c r="G24" s="50" t="n"/>
      <c r="H24" s="50" t="n"/>
      <c r="I24" s="50" t="n"/>
      <c r="J24" s="50" t="n"/>
      <c r="K24" s="50" t="n"/>
      <c r="L24" s="50" t="n"/>
      <c r="M24" s="50" t="n"/>
      <c r="N24" s="50" t="n"/>
    </row>
    <row r="25" ht="20" customHeight="1">
      <c r="A25" s="51" t="n"/>
      <c r="B25" s="51" t="n"/>
      <c r="C25" s="51" t="n"/>
      <c r="D25" s="51" t="n"/>
      <c r="E25" s="51" t="n"/>
      <c r="F25" s="51" t="n"/>
      <c r="G25" s="51" t="n"/>
      <c r="H25" s="51" t="n"/>
      <c r="I25" s="51" t="n"/>
      <c r="J25" s="51" t="n"/>
      <c r="K25" s="51" t="n"/>
      <c r="L25" s="51" t="n"/>
      <c r="M25" s="51" t="n"/>
      <c r="N25" s="51" t="n"/>
    </row>
    <row r="26" ht="20" customHeight="1">
      <c r="A26" s="50" t="n"/>
      <c r="B26" s="50" t="n"/>
      <c r="C26" s="50" t="n"/>
      <c r="D26" s="50" t="n"/>
      <c r="E26" s="50" t="n"/>
      <c r="F26" s="50" t="n"/>
      <c r="G26" s="50" t="n"/>
      <c r="H26" s="50" t="n"/>
      <c r="I26" s="50" t="n"/>
      <c r="J26" s="50" t="n"/>
      <c r="K26" s="50" t="n"/>
      <c r="L26" s="50" t="n"/>
      <c r="M26" s="50" t="n"/>
      <c r="N26" s="50" t="n"/>
    </row>
    <row r="27" ht="20" customHeight="1">
      <c r="A27" s="51" t="n"/>
      <c r="B27" s="51" t="n"/>
      <c r="C27" s="51" t="n"/>
      <c r="D27" s="51" t="n"/>
      <c r="E27" s="51" t="n"/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</row>
    <row r="28" ht="20" customHeight="1">
      <c r="A28" s="50" t="n"/>
      <c r="B28" s="50" t="n"/>
      <c r="C28" s="50" t="n"/>
      <c r="D28" s="50" t="n"/>
      <c r="E28" s="50" t="n"/>
      <c r="F28" s="50" t="n"/>
      <c r="G28" s="50" t="n"/>
      <c r="H28" s="50" t="n"/>
      <c r="I28" s="50" t="n"/>
      <c r="J28" s="50" t="n"/>
      <c r="K28" s="50" t="n"/>
      <c r="L28" s="50" t="n"/>
      <c r="M28" s="50" t="n"/>
      <c r="N28" s="50" t="n"/>
    </row>
    <row r="29" ht="20" customHeight="1">
      <c r="A29" s="51" t="n"/>
      <c r="B29" s="51" t="n"/>
      <c r="C29" s="51" t="n"/>
      <c r="D29" s="51" t="n"/>
      <c r="E29" s="51" t="n"/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</row>
    <row r="30" ht="20" customHeight="1">
      <c r="A30" s="50" t="n"/>
      <c r="B30" s="50" t="n"/>
      <c r="C30" s="50" t="n"/>
      <c r="D30" s="50" t="n"/>
      <c r="E30" s="50" t="n"/>
      <c r="F30" s="50" t="n"/>
      <c r="G30" s="50" t="n"/>
      <c r="H30" s="50" t="n"/>
      <c r="I30" s="50" t="n"/>
      <c r="J30" s="50" t="n"/>
      <c r="K30" s="50" t="n"/>
      <c r="L30" s="50" t="n"/>
      <c r="M30" s="50" t="n"/>
      <c r="N30" s="50" t="n"/>
    </row>
    <row r="31" ht="20" customHeight="1">
      <c r="A31" s="51" t="n"/>
      <c r="B31" s="51" t="n"/>
      <c r="C31" s="51" t="n"/>
      <c r="D31" s="51" t="n"/>
      <c r="E31" s="51" t="n"/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</row>
    <row r="32" ht="20" customHeight="1">
      <c r="A32" s="50" t="n"/>
      <c r="B32" s="50" t="n"/>
      <c r="C32" s="50" t="n"/>
      <c r="D32" s="50" t="n"/>
      <c r="E32" s="50" t="n"/>
      <c r="F32" s="50" t="n"/>
      <c r="G32" s="50" t="n"/>
      <c r="H32" s="50" t="n"/>
      <c r="I32" s="50" t="n"/>
      <c r="J32" s="50" t="n"/>
      <c r="K32" s="50" t="n"/>
      <c r="L32" s="50" t="n"/>
      <c r="M32" s="50" t="n"/>
      <c r="N32" s="50" t="n"/>
    </row>
    <row r="33" ht="20" customHeight="1">
      <c r="A33" s="51" t="n"/>
      <c r="B33" s="51" t="n"/>
      <c r="C33" s="51" t="n"/>
      <c r="D33" s="51" t="n"/>
      <c r="E33" s="51" t="n"/>
      <c r="F33" s="51" t="n"/>
      <c r="G33" s="51" t="n"/>
      <c r="H33" s="51" t="n"/>
      <c r="I33" s="51" t="n"/>
      <c r="J33" s="51" t="n"/>
      <c r="K33" s="51" t="n"/>
      <c r="L33" s="51" t="n"/>
      <c r="M33" s="51" t="n"/>
      <c r="N33" s="51" t="n"/>
    </row>
    <row r="34" ht="20" customHeight="1">
      <c r="A34" s="50" t="n"/>
      <c r="B34" s="50" t="n"/>
      <c r="C34" s="50" t="n"/>
      <c r="D34" s="50" t="n"/>
      <c r="E34" s="50" t="n"/>
      <c r="F34" s="50" t="n"/>
      <c r="G34" s="50" t="n"/>
      <c r="H34" s="50" t="n"/>
      <c r="I34" s="50" t="n"/>
      <c r="J34" s="50" t="n"/>
      <c r="K34" s="50" t="n"/>
      <c r="L34" s="50" t="n"/>
      <c r="M34" s="50" t="n"/>
      <c r="N34" s="50" t="n"/>
    </row>
    <row r="35" ht="20" customHeight="1">
      <c r="A35" s="51" t="n"/>
      <c r="B35" s="51" t="n"/>
      <c r="C35" s="51" t="n"/>
      <c r="D35" s="51" t="n"/>
      <c r="E35" s="51" t="n"/>
      <c r="F35" s="51" t="n"/>
      <c r="G35" s="51" t="n"/>
      <c r="H35" s="51" t="n"/>
      <c r="I35" s="51" t="n"/>
      <c r="J35" s="51" t="n"/>
      <c r="K35" s="51" t="n"/>
      <c r="L35" s="51" t="n"/>
      <c r="M35" s="51" t="n"/>
      <c r="N35" s="51" t="n"/>
    </row>
  </sheetData>
  <conditionalFormatting sqref="A5:N37">
    <cfRule type="expression" priority="1" dxfId="0">
      <formula>$L5="In Progress"</formula>
    </cfRule>
    <cfRule type="expression" priority="2" dxfId="2">
      <formula>$L5="Complete"</formula>
    </cfRule>
    <cfRule type="expression" priority="3" dxfId="1">
      <formula>$L5="On Hold"</formula>
    </cfRule>
    <cfRule type="expression" priority="4" dxfId="3">
      <formula>$L5="Cancelled"</formula>
    </cfRule>
    <cfRule type="expression" priority="5" dxfId="4">
      <formula>$L5="VOID"</formula>
    </cfRule>
  </conditionalFormatting>
  <dataValidations count="1">
    <dataValidation sqref="L5:L37" showDropDown="0" showInputMessage="0" showErrorMessage="0" allowBlank="1" type="list">
      <formula1>"In Progress,Complete,On Hold,Cancelled,VOID"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04040"/>
    <outlinePr summaryBelow="1" summaryRight="1"/>
    <pageSetUpPr/>
  </sheetPr>
  <dimension ref="A1:G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22" customWidth="1" min="3" max="3"/>
    <col width="22" customWidth="1" min="4" max="4"/>
    <col width="30" customWidth="1" min="5" max="5"/>
    <col width="13" customWidth="1" min="6" max="6"/>
    <col width="40" customWidth="1" min="7" max="7"/>
  </cols>
  <sheetData>
    <row r="1" ht="36" customHeight="1">
      <c r="A1" s="1" t="inlineStr">
        <is>
          <t>Client Code Registry</t>
        </is>
      </c>
    </row>
    <row r="3">
      <c r="A3" s="36" t="inlineStr">
        <is>
          <t xml:space="preserve">  MASTER list of 3-letter client codes  |  Assign before issuing first quote</t>
        </is>
      </c>
    </row>
    <row r="4" ht="22" customHeight="1">
      <c r="A4" s="37" t="inlineStr">
        <is>
          <t>Client Code</t>
        </is>
      </c>
      <c r="B4" s="37" t="inlineStr">
        <is>
          <t>Client Name</t>
        </is>
      </c>
      <c r="C4" s="37" t="inlineStr">
        <is>
          <t>Location / Region</t>
        </is>
      </c>
      <c r="D4" s="37" t="inlineStr">
        <is>
          <t>Primary Contact</t>
        </is>
      </c>
      <c r="E4" s="37" t="inlineStr">
        <is>
          <t>Contact Email</t>
        </is>
      </c>
      <c r="F4" s="37" t="inlineStr">
        <is>
          <t>Date Added</t>
        </is>
      </c>
      <c r="G4" s="37" t="inlineStr">
        <is>
          <t>Notes</t>
        </is>
      </c>
    </row>
    <row r="5" ht="20" customHeight="1">
      <c r="A5" s="52" t="inlineStr">
        <is>
          <t>GEN</t>
        </is>
      </c>
      <c r="B5" s="11" t="inlineStr">
        <is>
          <t>Generic / Unassigned</t>
        </is>
      </c>
      <c r="C5" s="11" t="inlineStr">
        <is>
          <t>—</t>
        </is>
      </c>
      <c r="D5" s="11" t="inlineStr">
        <is>
          <t>—</t>
        </is>
      </c>
      <c r="E5" s="11" t="inlineStr">
        <is>
          <t>—</t>
        </is>
      </c>
      <c r="F5" s="53" t="inlineStr">
        <is>
          <t>2026-01-01</t>
        </is>
      </c>
      <c r="G5" s="11" t="inlineStr">
        <is>
          <t>Use for prospects before permanent code is assigned</t>
        </is>
      </c>
    </row>
    <row r="6" ht="20" customHeight="1">
      <c r="A6" s="54" t="inlineStr">
        <is>
          <t>TFS</t>
        </is>
      </c>
      <c r="B6" s="13" t="inlineStr">
        <is>
          <t>Thermo Fisher Scientific</t>
        </is>
      </c>
      <c r="C6" s="13" t="inlineStr">
        <is>
          <t>Waltham, MA</t>
        </is>
      </c>
      <c r="D6" s="13" t="inlineStr">
        <is>
          <t>J. Reynolds</t>
        </is>
      </c>
      <c r="E6" s="13" t="inlineStr">
        <is>
          <t>j.reynolds@thermofisher.com</t>
        </is>
      </c>
      <c r="F6" s="55" t="inlineStr">
        <is>
          <t>2026-01-15</t>
        </is>
      </c>
      <c r="G6" s="13" t="inlineStr"/>
    </row>
    <row r="7" ht="20" customHeight="1">
      <c r="A7" s="52" t="inlineStr">
        <is>
          <t>ACM</t>
        </is>
      </c>
      <c r="B7" s="11" t="inlineStr">
        <is>
          <t>Acme Manufacturing</t>
        </is>
      </c>
      <c r="C7" s="11" t="inlineStr">
        <is>
          <t>Kansas City, MO</t>
        </is>
      </c>
      <c r="D7" s="11" t="inlineStr">
        <is>
          <t>B. Coyote</t>
        </is>
      </c>
      <c r="E7" s="11" t="inlineStr">
        <is>
          <t>b.coyote@acme.com</t>
        </is>
      </c>
      <c r="F7" s="53" t="inlineStr">
        <is>
          <t>2026-03-01</t>
        </is>
      </c>
      <c r="G7" s="11" t="inlineStr"/>
    </row>
    <row r="8" ht="20" customHeight="1">
      <c r="A8" s="50" t="n"/>
      <c r="B8" s="50" t="n"/>
      <c r="C8" s="50" t="n"/>
      <c r="D8" s="50" t="n"/>
      <c r="E8" s="50" t="n"/>
      <c r="F8" s="50" t="n"/>
      <c r="G8" s="50" t="n"/>
    </row>
    <row r="9" ht="20" customHeight="1">
      <c r="A9" s="51" t="n"/>
      <c r="B9" s="51" t="n"/>
      <c r="C9" s="51" t="n"/>
      <c r="D9" s="51" t="n"/>
      <c r="E9" s="51" t="n"/>
      <c r="F9" s="51" t="n"/>
      <c r="G9" s="51" t="n"/>
    </row>
    <row r="10" ht="20" customHeight="1">
      <c r="A10" s="50" t="n"/>
      <c r="B10" s="50" t="n"/>
      <c r="C10" s="50" t="n"/>
      <c r="D10" s="50" t="n"/>
      <c r="E10" s="50" t="n"/>
      <c r="F10" s="50" t="n"/>
      <c r="G10" s="50" t="n"/>
    </row>
    <row r="11" ht="20" customHeight="1">
      <c r="A11" s="51" t="n"/>
      <c r="B11" s="51" t="n"/>
      <c r="C11" s="51" t="n"/>
      <c r="D11" s="51" t="n"/>
      <c r="E11" s="51" t="n"/>
      <c r="F11" s="51" t="n"/>
      <c r="G11" s="51" t="n"/>
    </row>
    <row r="12" ht="20" customHeight="1">
      <c r="A12" s="50" t="n"/>
      <c r="B12" s="50" t="n"/>
      <c r="C12" s="50" t="n"/>
      <c r="D12" s="50" t="n"/>
      <c r="E12" s="50" t="n"/>
      <c r="F12" s="50" t="n"/>
      <c r="G12" s="50" t="n"/>
    </row>
    <row r="13" ht="20" customHeight="1">
      <c r="A13" s="51" t="n"/>
      <c r="B13" s="51" t="n"/>
      <c r="C13" s="51" t="n"/>
      <c r="D13" s="51" t="n"/>
      <c r="E13" s="51" t="n"/>
      <c r="F13" s="51" t="n"/>
      <c r="G13" s="51" t="n"/>
    </row>
    <row r="14" ht="20" customHeight="1">
      <c r="A14" s="50" t="n"/>
      <c r="B14" s="50" t="n"/>
      <c r="C14" s="50" t="n"/>
      <c r="D14" s="50" t="n"/>
      <c r="E14" s="50" t="n"/>
      <c r="F14" s="50" t="n"/>
      <c r="G14" s="50" t="n"/>
    </row>
    <row r="15" ht="20" customHeight="1">
      <c r="A15" s="51" t="n"/>
      <c r="B15" s="51" t="n"/>
      <c r="C15" s="51" t="n"/>
      <c r="D15" s="51" t="n"/>
      <c r="E15" s="51" t="n"/>
      <c r="F15" s="51" t="n"/>
      <c r="G15" s="51" t="n"/>
    </row>
    <row r="16" ht="20" customHeight="1">
      <c r="A16" s="50" t="n"/>
      <c r="B16" s="50" t="n"/>
      <c r="C16" s="50" t="n"/>
      <c r="D16" s="50" t="n"/>
      <c r="E16" s="50" t="n"/>
      <c r="F16" s="50" t="n"/>
      <c r="G16" s="50" t="n"/>
    </row>
    <row r="17" ht="20" customHeight="1">
      <c r="A17" s="51" t="n"/>
      <c r="B17" s="51" t="n"/>
      <c r="C17" s="51" t="n"/>
      <c r="D17" s="51" t="n"/>
      <c r="E17" s="51" t="n"/>
      <c r="F17" s="51" t="n"/>
      <c r="G17" s="51" t="n"/>
    </row>
    <row r="18" ht="20" customHeight="1">
      <c r="A18" s="50" t="n"/>
      <c r="B18" s="50" t="n"/>
      <c r="C18" s="50" t="n"/>
      <c r="D18" s="50" t="n"/>
      <c r="E18" s="50" t="n"/>
      <c r="F18" s="50" t="n"/>
      <c r="G18" s="50" t="n"/>
    </row>
    <row r="19" ht="20" customHeight="1">
      <c r="A19" s="51" t="n"/>
      <c r="B19" s="51" t="n"/>
      <c r="C19" s="51" t="n"/>
      <c r="D19" s="51" t="n"/>
      <c r="E19" s="51" t="n"/>
      <c r="F19" s="51" t="n"/>
      <c r="G19" s="51" t="n"/>
    </row>
    <row r="20" ht="20" customHeight="1">
      <c r="A20" s="50" t="n"/>
      <c r="B20" s="50" t="n"/>
      <c r="C20" s="50" t="n"/>
      <c r="D20" s="50" t="n"/>
      <c r="E20" s="50" t="n"/>
      <c r="F20" s="50" t="n"/>
      <c r="G20" s="50" t="n"/>
    </row>
    <row r="21" ht="20" customHeight="1">
      <c r="A21" s="51" t="n"/>
      <c r="B21" s="51" t="n"/>
      <c r="C21" s="51" t="n"/>
      <c r="D21" s="51" t="n"/>
      <c r="E21" s="51" t="n"/>
      <c r="F21" s="51" t="n"/>
      <c r="G21" s="51" t="n"/>
    </row>
    <row r="22" ht="20" customHeight="1">
      <c r="A22" s="50" t="n"/>
      <c r="B22" s="50" t="n"/>
      <c r="C22" s="50" t="n"/>
      <c r="D22" s="50" t="n"/>
      <c r="E22" s="50" t="n"/>
      <c r="F22" s="50" t="n"/>
      <c r="G22" s="50" t="n"/>
    </row>
    <row r="23" ht="20" customHeight="1">
      <c r="A23" s="51" t="n"/>
      <c r="B23" s="51" t="n"/>
      <c r="C23" s="51" t="n"/>
      <c r="D23" s="51" t="n"/>
      <c r="E23" s="51" t="n"/>
      <c r="F23" s="51" t="n"/>
      <c r="G23" s="51" t="n"/>
    </row>
    <row r="24" ht="20" customHeight="1">
      <c r="A24" s="50" t="n"/>
      <c r="B24" s="50" t="n"/>
      <c r="C24" s="50" t="n"/>
      <c r="D24" s="50" t="n"/>
      <c r="E24" s="50" t="n"/>
      <c r="F24" s="50" t="n"/>
      <c r="G24" s="50" t="n"/>
    </row>
    <row r="25" ht="20" customHeight="1">
      <c r="A25" s="51" t="n"/>
      <c r="B25" s="51" t="n"/>
      <c r="C25" s="51" t="n"/>
      <c r="D25" s="51" t="n"/>
      <c r="E25" s="51" t="n"/>
      <c r="F25" s="51" t="n"/>
      <c r="G25" s="51" t="n"/>
    </row>
    <row r="26" ht="20" customHeight="1">
      <c r="A26" s="50" t="n"/>
      <c r="B26" s="50" t="n"/>
      <c r="C26" s="50" t="n"/>
      <c r="D26" s="50" t="n"/>
      <c r="E26" s="50" t="n"/>
      <c r="F26" s="50" t="n"/>
      <c r="G26" s="50" t="n"/>
    </row>
    <row r="27" ht="20" customHeight="1">
      <c r="A27" s="51" t="n"/>
      <c r="B27" s="51" t="n"/>
      <c r="C27" s="51" t="n"/>
      <c r="D27" s="51" t="n"/>
      <c r="E27" s="51" t="n"/>
      <c r="F27" s="51" t="n"/>
      <c r="G27" s="51" t="n"/>
    </row>
    <row r="28" ht="20" customHeight="1">
      <c r="A28" s="50" t="n"/>
      <c r="B28" s="50" t="n"/>
      <c r="C28" s="50" t="n"/>
      <c r="D28" s="50" t="n"/>
      <c r="E28" s="50" t="n"/>
      <c r="F28" s="50" t="n"/>
      <c r="G28" s="50" t="n"/>
    </row>
    <row r="29" ht="20" customHeight="1">
      <c r="A29" s="51" t="n"/>
      <c r="B29" s="51" t="n"/>
      <c r="C29" s="51" t="n"/>
      <c r="D29" s="51" t="n"/>
      <c r="E29" s="51" t="n"/>
      <c r="F29" s="51" t="n"/>
      <c r="G29" s="51" t="n"/>
    </row>
    <row r="30" ht="20" customHeight="1">
      <c r="A30" s="50" t="n"/>
      <c r="B30" s="50" t="n"/>
      <c r="C30" s="50" t="n"/>
      <c r="D30" s="50" t="n"/>
      <c r="E30" s="50" t="n"/>
      <c r="F30" s="50" t="n"/>
      <c r="G30" s="50" t="n"/>
    </row>
    <row r="31" ht="20" customHeight="1">
      <c r="A31" s="51" t="n"/>
      <c r="B31" s="51" t="n"/>
      <c r="C31" s="51" t="n"/>
      <c r="D31" s="51" t="n"/>
      <c r="E31" s="51" t="n"/>
      <c r="F31" s="51" t="n"/>
      <c r="G31" s="51" t="n"/>
    </row>
    <row r="32" ht="20" customHeight="1">
      <c r="A32" s="50" t="n"/>
      <c r="B32" s="50" t="n"/>
      <c r="C32" s="50" t="n"/>
      <c r="D32" s="50" t="n"/>
      <c r="E32" s="50" t="n"/>
      <c r="F32" s="50" t="n"/>
      <c r="G32" s="5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4057"/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46" customWidth="1" min="3" max="3"/>
    <col width="10" customWidth="1" min="4" max="4"/>
  </cols>
  <sheetData>
    <row r="1" ht="36" customHeight="1">
      <c r="A1" s="1" t="inlineStr">
        <is>
          <t>Number Generator</t>
        </is>
      </c>
    </row>
    <row r="2">
      <c r="A2" s="56" t="inlineStr">
        <is>
          <t>Generate the next Quote or Build number. Job and Library numbers are generated in their respective per-build/per-library workbooks.</t>
        </is>
      </c>
    </row>
    <row r="4">
      <c r="A4" s="57" t="inlineStr">
        <is>
          <t xml:space="preserve">  QUOTE NUMBER GENERATOR</t>
        </is>
      </c>
    </row>
    <row r="5" ht="22" customHeight="1">
      <c r="A5" s="4" t="inlineStr">
        <is>
          <t>Year (YY)</t>
        </is>
      </c>
      <c r="B5" s="54" t="n">
        <v>2026</v>
      </c>
      <c r="C5" s="58" t="inlineStr">
        <is>
          <t>Change to current year</t>
        </is>
      </c>
    </row>
    <row r="6" ht="22" customHeight="1">
      <c r="A6" s="4" t="inlineStr">
        <is>
          <t>Next Quote Seq #</t>
        </is>
      </c>
      <c r="B6" s="54" t="n">
        <v>1</v>
      </c>
      <c r="C6" s="58" t="inlineStr">
        <is>
          <t>Check Quotes tab for last used number</t>
        </is>
      </c>
    </row>
    <row r="7" ht="22" customHeight="1">
      <c r="A7" s="4" t="inlineStr">
        <is>
          <t>Generated Quote #</t>
        </is>
      </c>
      <c r="B7" s="59">
        <f>"Q"&amp;TEXT(B5,"00")&amp;TEXT(B6,"0000")</f>
        <v/>
      </c>
      <c r="C7" s="58" t="inlineStr">
        <is>
          <t>Copy to Quotes tab  e.g. Q260001</t>
        </is>
      </c>
    </row>
    <row r="9">
      <c r="A9" s="57" t="inlineStr">
        <is>
          <t xml:space="preserve">  BUILD NUMBER GENERATOR</t>
        </is>
      </c>
    </row>
    <row r="10" ht="22" customHeight="1">
      <c r="A10" s="4" t="inlineStr">
        <is>
          <t>Year (YY)</t>
        </is>
      </c>
      <c r="B10" s="54" t="n">
        <v>2026</v>
      </c>
      <c r="C10" s="58" t="inlineStr">
        <is>
          <t>Change to current year</t>
        </is>
      </c>
    </row>
    <row r="11" ht="22" customHeight="1">
      <c r="A11" s="4" t="inlineStr">
        <is>
          <t>Next Build Seq #</t>
        </is>
      </c>
      <c r="B11" s="54" t="n">
        <v>1</v>
      </c>
      <c r="C11" s="58" t="inlineStr">
        <is>
          <t>Same number as awarded quote — not an independent counter</t>
        </is>
      </c>
    </row>
    <row r="12" ht="22" customHeight="1">
      <c r="A12" s="4" t="inlineStr">
        <is>
          <t>Generated Build #</t>
        </is>
      </c>
      <c r="B12" s="59">
        <f>"B"&amp;TEXT(B10,"00")&amp;TEXT(B11,"0000")</f>
        <v/>
      </c>
      <c r="C12" s="58" t="inlineStr">
        <is>
          <t>Copy to Builds tab  e.g. B260001</t>
        </is>
      </c>
    </row>
    <row r="14" ht="36" customHeight="1">
      <c r="A14" s="60" t="inlineStr">
        <is>
          <t xml:space="preserve">  ⚠  Job numbers are generated inside each per-build Job Register workbook. Library numbers are generated inside each Library Register workbook. Use the templates on the Instructions tab.</t>
        </is>
      </c>
    </row>
  </sheetData>
  <mergeCells count="3">
    <mergeCell ref="A4:D4"/>
    <mergeCell ref="A9:D9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2026-03-14T04:58:21Z</dcterms:created>
  <dcterms:modified xmlns:dcterms="http://purl.org/dc/terms/" xmlns:xsi="http://www.w3.org/2001/XMLSchema-instance" xsi:type="dcterms:W3CDTF">2026-03-14T04:58:21Z</dcterms:modified>
</cp:coreProperties>
</file>